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7" i="1"/>
  <c r="T68"/>
  <c r="T69"/>
  <c r="T70"/>
  <c r="T71"/>
  <c r="T72"/>
  <c r="T73"/>
  <c r="T74"/>
  <c r="T75"/>
  <c r="T76"/>
  <c r="T77"/>
  <c r="T78"/>
  <c r="T66" l="1"/>
  <c r="T65"/>
  <c r="T64"/>
  <c r="T63"/>
  <c r="T62"/>
  <c r="T61"/>
  <c r="T60"/>
  <c r="T59"/>
  <c r="T58"/>
  <c r="T57"/>
  <c r="T56"/>
  <c r="T55"/>
  <c r="T54"/>
  <c r="T53"/>
  <c r="T52"/>
  <c r="T51"/>
  <c r="T50"/>
  <c r="T49"/>
  <c r="T48" l="1"/>
  <c r="T47"/>
  <c r="T46"/>
  <c r="T45" l="1"/>
  <c r="T44"/>
  <c r="T43"/>
  <c r="T42"/>
  <c r="T41"/>
  <c r="T40" l="1"/>
  <c r="T39"/>
  <c r="T38"/>
  <c r="T37"/>
  <c r="T36"/>
  <c r="T35"/>
  <c r="T34"/>
  <c r="T33"/>
  <c r="T32"/>
  <c r="T31"/>
  <c r="T30"/>
  <c r="T29"/>
  <c r="T28"/>
  <c r="T27"/>
  <c r="T26" l="1"/>
  <c r="T25"/>
  <c r="T24"/>
  <c r="T23" l="1"/>
  <c r="T22"/>
  <c r="T21"/>
  <c r="T20" l="1"/>
  <c r="T19"/>
  <c r="T18"/>
  <c r="T17"/>
  <c r="T16" l="1"/>
  <c r="T15"/>
  <c r="T14"/>
  <c r="T13" l="1"/>
  <c r="T12"/>
  <c r="T11"/>
  <c r="T10"/>
  <c r="T9"/>
  <c r="T8"/>
  <c r="T7"/>
  <c r="T6"/>
  <c r="T5" l="1"/>
  <c r="T4"/>
</calcChain>
</file>

<file path=xl/sharedStrings.xml><?xml version="1.0" encoding="utf-8"?>
<sst xmlns="http://schemas.openxmlformats.org/spreadsheetml/2006/main" count="435" uniqueCount="194">
  <si>
    <t>NO</t>
  </si>
  <si>
    <t>JENIS</t>
  </si>
  <si>
    <t>TANGGAL DBA</t>
  </si>
  <si>
    <t>NOMOR  S -OPD // TANGGAL</t>
  </si>
  <si>
    <t>NOMOR S-PD</t>
  </si>
  <si>
    <t>URAIAN</t>
  </si>
  <si>
    <t>NAMA PERUSAHAAN</t>
  </si>
  <si>
    <t>NPWP REKANAN</t>
  </si>
  <si>
    <t>JUMLAH SURAT - PD (Rp)</t>
  </si>
  <si>
    <t>STS</t>
  </si>
  <si>
    <t>PPN</t>
  </si>
  <si>
    <t>PPH 21</t>
  </si>
  <si>
    <t>PPH 22</t>
  </si>
  <si>
    <t>PPH 23</t>
  </si>
  <si>
    <t>P.RESTO</t>
  </si>
  <si>
    <t>PPH FINAL</t>
  </si>
  <si>
    <t>JASA KONTRUKSI</t>
  </si>
  <si>
    <t>JASA KONSULTANSI</t>
  </si>
  <si>
    <t>JUMLAH BAYAR</t>
  </si>
  <si>
    <t>UP/GU/TU/LS</t>
  </si>
  <si>
    <t>UP / GU /LS</t>
  </si>
  <si>
    <t>TANGGAL S-OPD</t>
  </si>
  <si>
    <t xml:space="preserve"> </t>
  </si>
  <si>
    <t xml:space="preserve"> (pph Ps.4 Ayat 2)</t>
  </si>
  <si>
    <t>PPH PS 28</t>
  </si>
  <si>
    <t>001/S-PD UP/BLUD/2025</t>
  </si>
  <si>
    <t>31 DES 24</t>
  </si>
  <si>
    <t>BENDAHARA PENGELUARAN</t>
  </si>
  <si>
    <t>Kas di bendahara pengeluaran</t>
  </si>
  <si>
    <t>UP</t>
  </si>
  <si>
    <t>LS</t>
  </si>
  <si>
    <t>002/S-PD LS/BLUD/2025</t>
  </si>
  <si>
    <t>Pembayaran tagihan listrik bulan Januari 2025</t>
  </si>
  <si>
    <t>PT PLN (Persero) UID Jateng&amp;DIY UP3 Cilacap ULP Kebumen</t>
  </si>
  <si>
    <t>003/S-PD LS/BLUD/2025</t>
  </si>
  <si>
    <t>Belanja Insentif jasa tenaga kesehatan</t>
  </si>
  <si>
    <t>004/S-PD LS/BLUD/2025</t>
  </si>
  <si>
    <t>Belanja bahan-bahan kimia</t>
  </si>
  <si>
    <t>UTD PMI Kebumen</t>
  </si>
  <si>
    <t>005/S-PD LS/BLUD/2025</t>
  </si>
  <si>
    <t>006/S-PD LS/BLUD/2025</t>
  </si>
  <si>
    <t>PT MENDJANGAN</t>
  </si>
  <si>
    <t>007/S-PD LS/BLUD/2025</t>
  </si>
  <si>
    <t>008/S-PD LS/BLUD/2025</t>
  </si>
  <si>
    <t>PT SAMATOR GAS INDUSTRI</t>
  </si>
  <si>
    <t>009/S-PD LS/BLUD/2025</t>
  </si>
  <si>
    <t>Belanja jasa tenaga kesehatan dan jasa transaksi keuangan</t>
  </si>
  <si>
    <t>010/S-PD LS/BLUD/2025</t>
  </si>
  <si>
    <t>Belanja Bahan kimia dan obat obatan</t>
  </si>
  <si>
    <t>011/S-PD LS/BLUD/2025</t>
  </si>
  <si>
    <t>Tagihan listrik februari</t>
  </si>
  <si>
    <t>012/S-PD LS/BLUD/2025</t>
  </si>
  <si>
    <t>Belanja bahan bahan kimia</t>
  </si>
  <si>
    <t>013/S-PD LS/BLUD/2025</t>
  </si>
  <si>
    <t xml:space="preserve">Belanja jasa tenaga pelayanan umum outsorching tenaga taman januari </t>
  </si>
  <si>
    <t>PT BUMEN KURNIA SEJAHTERA</t>
  </si>
  <si>
    <t>014/S-PD LS/BLUD/2025</t>
  </si>
  <si>
    <t>015/S-PD LS/BLUD/2025</t>
  </si>
  <si>
    <t>Belanja Jasa Tenaga Kesehatan</t>
  </si>
  <si>
    <t>016/S-PD LS/BLUD/2025</t>
  </si>
  <si>
    <t>Biaya pengganti pengolahahan darah UTD PMI</t>
  </si>
  <si>
    <t>017/S-PD LS/BLUD/2025</t>
  </si>
  <si>
    <t>018/S-PD LS/BLUD/2025</t>
  </si>
  <si>
    <t>UTDC PMI KABUPATEN BANYUMAS</t>
  </si>
  <si>
    <t>019/S-PD LS/BLUD/2025</t>
  </si>
  <si>
    <t>Belanja obat obatan</t>
  </si>
  <si>
    <t>PT PARIT PADANG GLOBAL</t>
  </si>
  <si>
    <t>020/S-PD LS/BLUD/2025</t>
  </si>
  <si>
    <t>021/S-PD LS/BLUD/2025</t>
  </si>
  <si>
    <t>Belanja pekerjaan waterproofing area rooftop</t>
  </si>
  <si>
    <t>SINDOTECH UTAMA PT</t>
  </si>
  <si>
    <t>022/S-PD LS/BLUD/2025</t>
  </si>
  <si>
    <t>pembayara sayur bulan januari 2025</t>
  </si>
  <si>
    <t>CV HARUMABUS</t>
  </si>
  <si>
    <t>023/S-PD LS/BLUD/2025</t>
  </si>
  <si>
    <t>Pembayaran belanja makan minum pada pelayanan urusan kesehatan (non medik)</t>
  </si>
  <si>
    <t>024/S-PD LS/BLUD/2025</t>
  </si>
  <si>
    <t>Pembayaran tagihan listrik bulan februari 2025</t>
  </si>
  <si>
    <t>025/S-PD GU/BLUD/2025</t>
  </si>
  <si>
    <t>Ganti uang persediaan jan-feb 2025</t>
  </si>
  <si>
    <t>026/S-PD LS/BLUD/2025</t>
  </si>
  <si>
    <t>Pembayaran obat obatan</t>
  </si>
  <si>
    <t>PT MERAPI UTAMA PHARMA</t>
  </si>
  <si>
    <t>027/S-PD LS/BLUD/2025</t>
  </si>
  <si>
    <t>PT TAWADA HEALTHCARE</t>
  </si>
  <si>
    <t>028/S-PD LS/BLUD/2025</t>
  </si>
  <si>
    <t>GU</t>
  </si>
  <si>
    <t>029/S-PD LS/BLUD/2025</t>
  </si>
  <si>
    <t>030/S-PD LS/BLUD/2025</t>
  </si>
  <si>
    <t>Pengadaan chemical loundry</t>
  </si>
  <si>
    <t>PT ADISARANA CIPTA MANDIRI</t>
  </si>
  <si>
    <t>031/S-PD LS/BLUD/2025</t>
  </si>
  <si>
    <t>Belanja jasa tenaga pelayanan umum outsorching tenaga taman februari</t>
  </si>
  <si>
    <t>032/S-PD LS/BLUD/2025</t>
  </si>
  <si>
    <t>Belanja bahan kimia</t>
  </si>
  <si>
    <t>PT SABA INDOMEDIKA</t>
  </si>
  <si>
    <t>033/S-PD LS/BLUD/2025</t>
  </si>
  <si>
    <t>Belanja insntif jasa tenaga kesehatan</t>
  </si>
  <si>
    <t>034/S-PD LS/BLUD/2025</t>
  </si>
  <si>
    <t>Belanja jasa tenaga kesehatan</t>
  </si>
  <si>
    <t>035/S-PD LS/BLUD/2025</t>
  </si>
  <si>
    <t>Belanja makan minum bulan februari 2025</t>
  </si>
  <si>
    <t>036/S-PD LS/BLUD/2025</t>
  </si>
  <si>
    <t>Belanja jasa pengiolahan sampah-limbah bln jan 25</t>
  </si>
  <si>
    <t>PT UNIVERSAL ECO PASIFIC</t>
  </si>
  <si>
    <t>037/S-PD LS/BLUD/2025</t>
  </si>
  <si>
    <t>Pembayaran sayur Natura bln feb 25</t>
  </si>
  <si>
    <t>038/S-PD LS/BLUD/2025</t>
  </si>
  <si>
    <t>039/S-PD LS/BLUD/2025</t>
  </si>
  <si>
    <t>040/S-PD LS/BLUD/2025</t>
  </si>
  <si>
    <t>041/S-PD LS/BLUD/2025</t>
  </si>
  <si>
    <t>Pengadaan revolution hook dan loop</t>
  </si>
  <si>
    <t>PT DIPA PHARMALAB INTERSAIN</t>
  </si>
  <si>
    <t>042/S-PD LS/BLUD/2025</t>
  </si>
  <si>
    <t xml:space="preserve">Pekerjaan kontrak servis alat kesehatan CT Scan </t>
  </si>
  <si>
    <t>PT ANEKA MEDIKA INDONESIA</t>
  </si>
  <si>
    <t>043/S-PD LS/BLUD/2025</t>
  </si>
  <si>
    <t>Pembayaran 13% atas pekerjaan blnja bahan kimia</t>
  </si>
  <si>
    <t>044/S-PD LS/BLUD/2025</t>
  </si>
  <si>
    <t>Pembayaran bahan kimia dan obat</t>
  </si>
  <si>
    <t>045/S-PD LS/BLUD/2025</t>
  </si>
  <si>
    <t>Blnja jasa pngolahan sampah bln feb 25</t>
  </si>
  <si>
    <t>046/S-PD LS/BLUD/2025</t>
  </si>
  <si>
    <t xml:space="preserve">Pembayaran Tagihan Listrik Bulan April 2025 atas pemakaian Bulan Maret 2025 </t>
  </si>
  <si>
    <t>047/S-PD LS/BLUD/2025</t>
  </si>
  <si>
    <t xml:space="preserve">Pembayaran Biaya Pengganti Pengolahan Darah Bulan Febuari 2025 </t>
  </si>
  <si>
    <t xml:space="preserve">UTD PMI Kabupaten Kebumen </t>
  </si>
  <si>
    <t>048/S-PD LS/BLUD/2025</t>
  </si>
  <si>
    <t>PT. DIAN LANGGENG PRATAMA</t>
  </si>
  <si>
    <t xml:space="preserve">LS </t>
  </si>
  <si>
    <t>049/S-PD LS/BLUD/2025</t>
  </si>
  <si>
    <t>Pembayaran 100% atas Pekerjaan Pengadaan Bahan Kimia (BMHP) Desember 2024 Kategori 1</t>
  </si>
  <si>
    <t>Pembayaran 100% atas Pekerjaan Pengadaan Bahan Kimia (BMHP) Desember 2024 Kategori 2</t>
  </si>
  <si>
    <t>050/S-PD LS/BLUD/2025</t>
  </si>
  <si>
    <r>
      <t>Pembayaran 100</t>
    </r>
    <r>
      <rPr>
        <strike/>
        <sz val="11"/>
        <color theme="1"/>
        <rFont val="Calibri"/>
        <family val="2"/>
        <scheme val="minor"/>
      </rPr>
      <t xml:space="preserve">% atas Pekerjaan Belanja Bahan Obat-obatan Januari 2025 Kategori 5 </t>
    </r>
  </si>
  <si>
    <t xml:space="preserve">PT. ANUGERAH PHARMINDO LESTARI </t>
  </si>
  <si>
    <t>051/S-PD LS/BLUD/2025</t>
  </si>
  <si>
    <t xml:space="preserve">Pembayaran 2% atas Pekerjaan pengandaan belanja bahan obat-obatan </t>
  </si>
  <si>
    <t xml:space="preserve">PT. PARIT PADANG GLOBAL </t>
  </si>
  <si>
    <t>052/S-PD LS/BLUD/2025</t>
  </si>
  <si>
    <t xml:space="preserve">Pembayaran 92% atas pekerjaan pengadaan belanja bahan obat- obatan </t>
  </si>
  <si>
    <t>053/S-PD LS/BLUD/2025</t>
  </si>
  <si>
    <t xml:space="preserve">BANK BPD CABANG KEBUMEN </t>
  </si>
  <si>
    <t>054/S-PD LS/BLUD/2025</t>
  </si>
  <si>
    <t>Belanja insentif jasa tenaga kesehatan ,belanja tunjangan JKN ASN 4%</t>
  </si>
  <si>
    <t>055/S-PD LS/BLUD/2025</t>
  </si>
  <si>
    <t>054/S-PD LS/BLUD/2031</t>
  </si>
  <si>
    <t xml:space="preserve">Pembayaran pekerjaan belanja Jasa Ahli RSUD dr. SOEDIEMAN </t>
  </si>
  <si>
    <t xml:space="preserve">KAP DARSONO &amp; BUDI CAHYO SANTOSO </t>
  </si>
  <si>
    <t>056/S-PD LS/BLUD/2025</t>
  </si>
  <si>
    <t>057/S-PD LS/BLUD/2025</t>
  </si>
  <si>
    <t xml:space="preserve">Pembayaran 16% atas pekerjaan pengadaan belanja bahan obat-obatan </t>
  </si>
  <si>
    <t>PT. ARIT PADANG GLOBAL</t>
  </si>
  <si>
    <t>058/S-PD LS/BLUD/2025</t>
  </si>
  <si>
    <r>
      <t>Pembayaran 29</t>
    </r>
    <r>
      <rPr>
        <strike/>
        <sz val="11"/>
        <color theme="1"/>
        <rFont val="Calibri"/>
        <family val="2"/>
        <scheme val="minor"/>
      </rPr>
      <t xml:space="preserve">% atas pekerjaan pengadaan belanja bahan obat-obatan </t>
    </r>
  </si>
  <si>
    <t>059/S-PD LS/BLUD/2025</t>
  </si>
  <si>
    <t>Pembayaran 100% atas pekerjaan pengadaan belanja obat-obatan Januari 2025 kategori 4</t>
  </si>
  <si>
    <t xml:space="preserve">PT. ENSEVAL PUTERA MEGATRADING </t>
  </si>
  <si>
    <t>060/S-PD LS/BLUD/2025</t>
  </si>
  <si>
    <t>Belanja Insentif Jasa Tenaga Kesehatan Pegawai BLUD bulan April 2025</t>
  </si>
  <si>
    <t>061/S-PD LS/BLUD/2025</t>
  </si>
  <si>
    <t xml:space="preserve">LS  </t>
  </si>
  <si>
    <t>Belanja Jasa Tenaga Pelayanan Umum Pekerjan Outsourching Tenaga Taman bulan Maret 2025</t>
  </si>
  <si>
    <t xml:space="preserve">PT. BUMEN KURNIA SEJAHTERA </t>
  </si>
  <si>
    <t>062/S-PD LS/BLUD/2025</t>
  </si>
  <si>
    <t>Pembayaran Biaya pengganti Pengolahan Darah Bulan Maret 2025</t>
  </si>
  <si>
    <t>063/S-PD LS/BLUD/2025</t>
  </si>
  <si>
    <t>Pembayaran Paket HD Set Periode 1 s/d 28 Febuari 2025</t>
  </si>
  <si>
    <t>064/S-PD LS/BLUD/2025</t>
  </si>
  <si>
    <t xml:space="preserve">Pembayaran 34% atas Pekerjaan Pengadaan Belanja Bahan Kimia (BMKP) </t>
  </si>
  <si>
    <t>PT. SINAR PANCA MEDIKA</t>
  </si>
  <si>
    <t>065/S-PD LS/BLUD/2025</t>
  </si>
  <si>
    <t>066/S-PD LS/BLUD/2025</t>
  </si>
  <si>
    <t>Pembayaraan 100% atas Pekerjaan Pengadaan Belanja Bahan Obat-Obatan Januari Kategori 3</t>
  </si>
  <si>
    <t xml:space="preserve">PT. ANUGRAH PHARMINDO LESTARI </t>
  </si>
  <si>
    <t>067/S-PD LS/BLUD/2025</t>
  </si>
  <si>
    <r>
      <t>Pembayaran 100</t>
    </r>
    <r>
      <rPr>
        <strike/>
        <sz val="11"/>
        <color theme="1"/>
        <rFont val="Calibri"/>
        <family val="2"/>
        <scheme val="minor"/>
      </rPr>
      <t>% atas Pekerjaan Pengadaan Belanja Bahan Kimia (BMKP)</t>
    </r>
  </si>
  <si>
    <t>PT. ANUGRAH ARGON MEDICA</t>
  </si>
  <si>
    <t>068/S-PD LS/BLUD/2025</t>
  </si>
  <si>
    <t xml:space="preserve">Pembayaran 100% atas Pekerjaan Belanja Bahan Obat-obatan </t>
  </si>
  <si>
    <t>069/S-PD LS/BLUD/2025</t>
  </si>
  <si>
    <t xml:space="preserve">Pembayaran 74% atas Pekerjaan Belanja Bahan Obat-obatan </t>
  </si>
  <si>
    <t>PT. MERAPI UTAMA PHARMA</t>
  </si>
  <si>
    <t>070/S-PD LS/BLUD/2025</t>
  </si>
  <si>
    <t xml:space="preserve">Pembayaran 6% atas pekerjaan pengadaan belanja Bahan obat-obatan </t>
  </si>
  <si>
    <t>PT. TIARA KENCANA</t>
  </si>
  <si>
    <t>071/S-PD LS/BLUD/2025</t>
  </si>
  <si>
    <t>Pembayaran 49% atas Pekerjaan Pengadaan Belanja Bahan Kimia (BMHP)</t>
  </si>
  <si>
    <t>PT. INTISUMBER HASIL SEMPURNA GLOBAL</t>
  </si>
  <si>
    <t>072/S-PD LS/BLUD/2025</t>
  </si>
  <si>
    <t xml:space="preserve">Pembayaran Belanja Bahan-bahan Kimia dan Belanja Obat-obatan </t>
  </si>
  <si>
    <t>072/S-PD LS/BLUD/2027</t>
  </si>
  <si>
    <t>073/S-PD LS/BLUD/2025</t>
  </si>
  <si>
    <t xml:space="preserve">Pembayaran Tagihan Listrik Bulan Mei 2025 atas pemakaian Bulan April 2025 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</si>
</sst>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vertical="top"/>
    </xf>
    <xf numFmtId="15" fontId="0" fillId="0" borderId="0" xfId="0" applyNumberFormat="1" applyAlignment="1">
      <alignment vertical="top"/>
    </xf>
    <xf numFmtId="15" fontId="0" fillId="0" borderId="0" xfId="0" applyNumberFormat="1" applyAlignment="1">
      <alignment vertical="top" wrapText="1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5" fontId="0" fillId="0" borderId="0" xfId="0" applyNumberFormat="1"/>
    <xf numFmtId="164" fontId="0" fillId="0" borderId="0" xfId="1" applyFont="1"/>
    <xf numFmtId="164" fontId="0" fillId="0" borderId="0" xfId="1" applyFont="1" applyAlignment="1">
      <alignment vertical="top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righ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0" xfId="1" applyNumberFormat="1" applyFont="1" applyAlignment="1">
      <alignment vertical="top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48576"/>
  <sheetViews>
    <sheetView tabSelected="1" workbookViewId="0">
      <pane xSplit="6" ySplit="3" topLeftCell="H49" activePane="bottomRight" state="frozen"/>
      <selection pane="topRight" activeCell="G1" sqref="G1"/>
      <selection pane="bottomLeft" activeCell="A4" sqref="A4"/>
      <selection pane="bottomRight" activeCell="A53" sqref="A53:XFD53"/>
    </sheetView>
  </sheetViews>
  <sheetFormatPr defaultRowHeight="15"/>
  <cols>
    <col min="1" max="1" width="8.7109375" style="23"/>
    <col min="2" max="2" width="21.5703125" bestFit="1" customWidth="1"/>
    <col min="3" max="3" width="10.7109375" bestFit="1" customWidth="1"/>
    <col min="4" max="4" width="11.5703125" style="23" customWidth="1"/>
    <col min="5" max="5" width="16.5703125" customWidth="1"/>
    <col min="6" max="6" width="21.5703125" bestFit="1" customWidth="1"/>
    <col min="7" max="7" width="32.85546875" bestFit="1" customWidth="1"/>
    <col min="8" max="8" width="24.42578125" bestFit="1" customWidth="1"/>
    <col min="10" max="10" width="16.85546875" bestFit="1" customWidth="1"/>
    <col min="12" max="12" width="15.28515625" bestFit="1" customWidth="1"/>
    <col min="13" max="13" width="14.5703125" bestFit="1" customWidth="1"/>
    <col min="14" max="14" width="14.28515625" bestFit="1" customWidth="1"/>
    <col min="15" max="15" width="13.28515625" bestFit="1" customWidth="1"/>
    <col min="18" max="18" width="15.5703125" bestFit="1" customWidth="1"/>
    <col min="19" max="19" width="9.140625" bestFit="1" customWidth="1"/>
    <col min="20" max="20" width="16.140625" bestFit="1" customWidth="1"/>
  </cols>
  <sheetData>
    <row r="1" spans="1:20" ht="45">
      <c r="A1" s="25" t="s">
        <v>0</v>
      </c>
      <c r="B1" s="1" t="s">
        <v>1</v>
      </c>
      <c r="C1" s="26" t="s">
        <v>2</v>
      </c>
      <c r="D1" s="28" t="s">
        <v>3</v>
      </c>
      <c r="E1" s="29"/>
      <c r="F1" s="26" t="s">
        <v>4</v>
      </c>
      <c r="G1" s="26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0">
      <c r="A2" s="25"/>
      <c r="B2" s="6" t="s">
        <v>19</v>
      </c>
      <c r="C2" s="27"/>
      <c r="D2" s="6" t="s">
        <v>20</v>
      </c>
      <c r="E2" s="6" t="s">
        <v>21</v>
      </c>
      <c r="F2" s="27"/>
      <c r="G2" s="27"/>
      <c r="H2" s="7" t="s">
        <v>22</v>
      </c>
      <c r="I2" s="8"/>
      <c r="J2" s="8"/>
      <c r="K2" s="8"/>
      <c r="L2" s="8"/>
      <c r="M2" s="8"/>
      <c r="N2" s="8"/>
      <c r="O2" s="8"/>
      <c r="P2" s="8"/>
      <c r="Q2" s="8"/>
      <c r="R2" s="8" t="s">
        <v>23</v>
      </c>
      <c r="S2" s="8" t="s">
        <v>24</v>
      </c>
      <c r="T2" s="8"/>
    </row>
    <row r="3" spans="1:20">
      <c r="A3" s="8">
        <v>1</v>
      </c>
      <c r="B3" s="8"/>
      <c r="C3" s="8">
        <v>2</v>
      </c>
      <c r="D3" s="9">
        <v>3</v>
      </c>
      <c r="E3" s="10"/>
      <c r="F3" s="5"/>
      <c r="G3" s="4">
        <v>4</v>
      </c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2" customFormat="1">
      <c r="A4" s="24">
        <v>1</v>
      </c>
      <c r="B4" s="12" t="s">
        <v>25</v>
      </c>
      <c r="C4" s="13" t="s">
        <v>26</v>
      </c>
      <c r="D4" s="22" t="s">
        <v>29</v>
      </c>
      <c r="E4" s="13">
        <v>45667</v>
      </c>
      <c r="F4" s="12" t="s">
        <v>25</v>
      </c>
      <c r="G4" s="14" t="s">
        <v>28</v>
      </c>
      <c r="H4" s="12" t="s">
        <v>27</v>
      </c>
      <c r="J4" s="15">
        <v>1315602000</v>
      </c>
      <c r="T4" s="17">
        <f t="shared" ref="T4:T67" si="0">J4-K4-L4-M4-N4-O4-P4-Q4-R4-S4</f>
        <v>1315602000</v>
      </c>
    </row>
    <row r="5" spans="1:20" s="12" customFormat="1" ht="45">
      <c r="A5" s="22">
        <v>2</v>
      </c>
      <c r="B5" s="12" t="s">
        <v>31</v>
      </c>
      <c r="C5" s="13" t="s">
        <v>26</v>
      </c>
      <c r="D5" s="22" t="s">
        <v>30</v>
      </c>
      <c r="E5" s="13">
        <v>45668</v>
      </c>
      <c r="F5" s="12" t="s">
        <v>31</v>
      </c>
      <c r="G5" s="16" t="s">
        <v>32</v>
      </c>
      <c r="H5" s="16" t="s">
        <v>33</v>
      </c>
      <c r="J5" s="15">
        <v>210850976</v>
      </c>
      <c r="T5" s="17">
        <f t="shared" si="0"/>
        <v>210850976</v>
      </c>
    </row>
    <row r="6" spans="1:20" s="12" customFormat="1" ht="30">
      <c r="A6" s="22">
        <v>3</v>
      </c>
      <c r="B6" s="12" t="s">
        <v>34</v>
      </c>
      <c r="C6" s="13" t="s">
        <v>26</v>
      </c>
      <c r="D6" s="22" t="s">
        <v>30</v>
      </c>
      <c r="E6" s="13">
        <v>45675</v>
      </c>
      <c r="F6" s="12" t="s">
        <v>34</v>
      </c>
      <c r="G6" s="12" t="s">
        <v>35</v>
      </c>
      <c r="H6" s="21" t="s">
        <v>27</v>
      </c>
      <c r="J6" s="20">
        <v>4436648768</v>
      </c>
      <c r="M6" s="20">
        <v>69514909</v>
      </c>
      <c r="T6" s="17">
        <f t="shared" si="0"/>
        <v>4367133859</v>
      </c>
    </row>
    <row r="7" spans="1:20">
      <c r="A7" s="23">
        <v>4</v>
      </c>
      <c r="B7" s="12" t="s">
        <v>36</v>
      </c>
      <c r="C7" s="13" t="s">
        <v>26</v>
      </c>
      <c r="D7" s="22" t="s">
        <v>30</v>
      </c>
      <c r="E7" s="18">
        <v>45680</v>
      </c>
      <c r="F7" s="12" t="s">
        <v>36</v>
      </c>
      <c r="G7" s="12" t="s">
        <v>37</v>
      </c>
      <c r="H7" s="12" t="s">
        <v>38</v>
      </c>
      <c r="J7" s="19">
        <v>248400000</v>
      </c>
      <c r="T7" s="17">
        <f t="shared" si="0"/>
        <v>248400000</v>
      </c>
    </row>
    <row r="8" spans="1:20">
      <c r="A8" s="23">
        <v>5</v>
      </c>
      <c r="B8" s="12" t="s">
        <v>39</v>
      </c>
      <c r="C8" s="13" t="s">
        <v>26</v>
      </c>
      <c r="D8" s="22" t="s">
        <v>30</v>
      </c>
      <c r="E8" s="18">
        <v>45680</v>
      </c>
      <c r="F8" s="12" t="s">
        <v>39</v>
      </c>
      <c r="G8" s="12" t="s">
        <v>37</v>
      </c>
      <c r="H8" s="12" t="s">
        <v>38</v>
      </c>
      <c r="J8" s="19">
        <v>272250000</v>
      </c>
      <c r="L8" s="19">
        <v>0</v>
      </c>
      <c r="M8" s="19"/>
      <c r="N8" s="19">
        <v>0</v>
      </c>
      <c r="O8" s="19"/>
      <c r="T8" s="17">
        <f t="shared" si="0"/>
        <v>272250000</v>
      </c>
    </row>
    <row r="9" spans="1:20">
      <c r="A9" s="23">
        <v>6</v>
      </c>
      <c r="B9" s="12" t="s">
        <v>40</v>
      </c>
      <c r="C9" s="13" t="s">
        <v>26</v>
      </c>
      <c r="D9" s="22" t="s">
        <v>30</v>
      </c>
      <c r="E9" s="18">
        <v>45680</v>
      </c>
      <c r="F9" s="12" t="s">
        <v>40</v>
      </c>
      <c r="G9" s="12" t="s">
        <v>37</v>
      </c>
      <c r="H9" s="12" t="s">
        <v>41</v>
      </c>
      <c r="J9" s="19">
        <v>385567380</v>
      </c>
      <c r="L9" s="19">
        <v>38209380</v>
      </c>
      <c r="M9" s="19"/>
      <c r="N9" s="19">
        <v>5210370</v>
      </c>
      <c r="O9" s="19"/>
      <c r="T9" s="17">
        <f t="shared" si="0"/>
        <v>342147630</v>
      </c>
    </row>
    <row r="10" spans="1:20">
      <c r="A10" s="23">
        <v>7</v>
      </c>
      <c r="B10" s="12" t="s">
        <v>42</v>
      </c>
      <c r="C10" s="13" t="s">
        <v>26</v>
      </c>
      <c r="D10" s="22" t="s">
        <v>30</v>
      </c>
      <c r="E10" s="18">
        <v>45680</v>
      </c>
      <c r="F10" s="12" t="s">
        <v>42</v>
      </c>
      <c r="G10" s="12" t="s">
        <v>37</v>
      </c>
      <c r="H10" s="12" t="s">
        <v>41</v>
      </c>
      <c r="J10" s="19">
        <v>373503900</v>
      </c>
      <c r="K10" s="19"/>
      <c r="L10" s="19">
        <v>37013900</v>
      </c>
      <c r="M10" s="19"/>
      <c r="N10" s="19">
        <v>5047350</v>
      </c>
      <c r="O10" s="19"/>
      <c r="P10" s="19"/>
      <c r="Q10" s="19"/>
      <c r="R10" s="19"/>
      <c r="S10" s="19"/>
      <c r="T10" s="17">
        <f t="shared" si="0"/>
        <v>331442650</v>
      </c>
    </row>
    <row r="11" spans="1:20">
      <c r="A11" s="23">
        <v>8</v>
      </c>
      <c r="B11" s="12" t="s">
        <v>43</v>
      </c>
      <c r="C11" s="13" t="s">
        <v>26</v>
      </c>
      <c r="D11" s="22" t="s">
        <v>30</v>
      </c>
      <c r="E11" s="18">
        <v>45680</v>
      </c>
      <c r="F11" s="12" t="s">
        <v>43</v>
      </c>
      <c r="G11" s="12" t="s">
        <v>37</v>
      </c>
      <c r="H11" s="12" t="s">
        <v>44</v>
      </c>
      <c r="J11" s="19">
        <v>26296588</v>
      </c>
      <c r="L11" s="19">
        <v>2605968</v>
      </c>
      <c r="N11" s="19">
        <v>355359</v>
      </c>
      <c r="T11" s="17">
        <f t="shared" si="0"/>
        <v>23335261</v>
      </c>
    </row>
    <row r="12" spans="1:20" s="12" customFormat="1" ht="30">
      <c r="A12" s="22">
        <v>9</v>
      </c>
      <c r="B12" s="12" t="s">
        <v>45</v>
      </c>
      <c r="C12" s="13" t="s">
        <v>26</v>
      </c>
      <c r="D12" s="22" t="s">
        <v>30</v>
      </c>
      <c r="E12" s="13">
        <v>45680</v>
      </c>
      <c r="F12" s="12" t="s">
        <v>45</v>
      </c>
      <c r="G12" s="16" t="s">
        <v>46</v>
      </c>
      <c r="H12" s="12" t="s">
        <v>27</v>
      </c>
      <c r="J12" s="20">
        <v>1122390998</v>
      </c>
      <c r="M12" s="20">
        <v>572910</v>
      </c>
      <c r="T12" s="17">
        <f t="shared" si="0"/>
        <v>1121818088</v>
      </c>
    </row>
    <row r="13" spans="1:20">
      <c r="A13" s="23">
        <v>10</v>
      </c>
      <c r="B13" s="12" t="s">
        <v>47</v>
      </c>
      <c r="C13" s="13" t="s">
        <v>26</v>
      </c>
      <c r="D13" s="22" t="s">
        <v>30</v>
      </c>
      <c r="E13" s="18">
        <v>45688</v>
      </c>
      <c r="F13" s="12" t="s">
        <v>47</v>
      </c>
      <c r="G13" s="12" t="s">
        <v>48</v>
      </c>
      <c r="H13" t="s">
        <v>27</v>
      </c>
      <c r="J13" s="19">
        <v>304703607</v>
      </c>
      <c r="L13" s="19">
        <v>30195849</v>
      </c>
      <c r="N13" s="19">
        <v>2693509</v>
      </c>
      <c r="T13" s="17">
        <f t="shared" si="0"/>
        <v>271814249</v>
      </c>
    </row>
    <row r="14" spans="1:20" s="12" customFormat="1" ht="45">
      <c r="A14" s="22">
        <v>11</v>
      </c>
      <c r="B14" s="12" t="s">
        <v>49</v>
      </c>
      <c r="C14" s="13" t="s">
        <v>26</v>
      </c>
      <c r="D14" s="22" t="s">
        <v>30</v>
      </c>
      <c r="E14" s="13">
        <v>45688</v>
      </c>
      <c r="F14" s="12" t="s">
        <v>49</v>
      </c>
      <c r="G14" s="12" t="s">
        <v>50</v>
      </c>
      <c r="H14" s="16" t="s">
        <v>33</v>
      </c>
      <c r="J14" s="20">
        <v>217421068</v>
      </c>
      <c r="L14" s="12">
        <v>0</v>
      </c>
      <c r="T14" s="17">
        <f t="shared" si="0"/>
        <v>217421068</v>
      </c>
    </row>
    <row r="15" spans="1:20">
      <c r="A15" s="23">
        <v>12</v>
      </c>
      <c r="B15" s="12" t="s">
        <v>51</v>
      </c>
      <c r="C15" s="13" t="s">
        <v>26</v>
      </c>
      <c r="D15" s="22" t="s">
        <v>30</v>
      </c>
      <c r="E15" s="13">
        <v>45688</v>
      </c>
      <c r="F15" s="12" t="s">
        <v>51</v>
      </c>
      <c r="G15" s="12" t="s">
        <v>52</v>
      </c>
      <c r="H15" s="12" t="s">
        <v>41</v>
      </c>
      <c r="J15" s="19">
        <v>374431860</v>
      </c>
      <c r="L15" s="19">
        <v>37105860</v>
      </c>
      <c r="N15" s="19">
        <v>5059890</v>
      </c>
      <c r="T15" s="17">
        <f t="shared" si="0"/>
        <v>332266110</v>
      </c>
    </row>
    <row r="16" spans="1:20" ht="45">
      <c r="A16" s="22">
        <v>13</v>
      </c>
      <c r="B16" s="12" t="s">
        <v>53</v>
      </c>
      <c r="C16" s="13" t="s">
        <v>26</v>
      </c>
      <c r="D16" s="22" t="s">
        <v>30</v>
      </c>
      <c r="E16" s="13">
        <v>45688</v>
      </c>
      <c r="F16" s="12" t="s">
        <v>53</v>
      </c>
      <c r="G16" s="16" t="s">
        <v>54</v>
      </c>
      <c r="H16" s="16" t="s">
        <v>55</v>
      </c>
      <c r="J16" s="20">
        <v>24026497</v>
      </c>
      <c r="L16" s="20">
        <v>2381004</v>
      </c>
      <c r="O16" s="19">
        <v>432910</v>
      </c>
      <c r="T16" s="17">
        <f t="shared" si="0"/>
        <v>21212583</v>
      </c>
    </row>
    <row r="17" spans="1:20">
      <c r="A17" s="23">
        <v>14</v>
      </c>
      <c r="B17" s="12" t="s">
        <v>56</v>
      </c>
      <c r="C17" s="13" t="s">
        <v>26</v>
      </c>
      <c r="D17" s="22" t="s">
        <v>30</v>
      </c>
      <c r="E17" s="18">
        <v>45707</v>
      </c>
      <c r="F17" s="12" t="s">
        <v>56</v>
      </c>
      <c r="G17" s="12" t="s">
        <v>35</v>
      </c>
      <c r="H17" t="s">
        <v>27</v>
      </c>
      <c r="J17" s="19">
        <v>4172957356</v>
      </c>
      <c r="M17" s="19">
        <v>63939998</v>
      </c>
      <c r="T17" s="17">
        <f t="shared" si="0"/>
        <v>4109017358</v>
      </c>
    </row>
    <row r="18" spans="1:20">
      <c r="A18" s="23">
        <v>15</v>
      </c>
      <c r="B18" s="12" t="s">
        <v>57</v>
      </c>
      <c r="C18" s="13" t="s">
        <v>26</v>
      </c>
      <c r="D18" s="22" t="s">
        <v>30</v>
      </c>
      <c r="E18" s="18">
        <v>45707</v>
      </c>
      <c r="F18" s="12" t="s">
        <v>57</v>
      </c>
      <c r="G18" s="12" t="s">
        <v>58</v>
      </c>
      <c r="H18" t="s">
        <v>27</v>
      </c>
      <c r="J18" s="20">
        <v>189443001</v>
      </c>
      <c r="T18" s="17">
        <f t="shared" si="0"/>
        <v>189443001</v>
      </c>
    </row>
    <row r="19" spans="1:20">
      <c r="A19" s="23">
        <v>16</v>
      </c>
      <c r="B19" s="12" t="s">
        <v>59</v>
      </c>
      <c r="C19" s="13" t="s">
        <v>26</v>
      </c>
      <c r="D19" s="22" t="s">
        <v>30</v>
      </c>
      <c r="E19" s="18">
        <v>45712</v>
      </c>
      <c r="F19" s="12" t="s">
        <v>59</v>
      </c>
      <c r="G19" s="12" t="s">
        <v>60</v>
      </c>
      <c r="H19" t="s">
        <v>38</v>
      </c>
      <c r="J19" s="19">
        <v>277650000</v>
      </c>
      <c r="T19" s="17">
        <f t="shared" si="0"/>
        <v>277650000</v>
      </c>
    </row>
    <row r="20" spans="1:20">
      <c r="A20" s="23">
        <v>17</v>
      </c>
      <c r="B20" s="12" t="s">
        <v>61</v>
      </c>
      <c r="C20" s="13" t="s">
        <v>26</v>
      </c>
      <c r="D20" s="22" t="s">
        <v>30</v>
      </c>
      <c r="E20" s="18">
        <v>45712</v>
      </c>
      <c r="F20" s="12" t="s">
        <v>61</v>
      </c>
      <c r="G20" s="12" t="s">
        <v>46</v>
      </c>
      <c r="H20" t="s">
        <v>27</v>
      </c>
      <c r="J20" s="20">
        <v>1118935251</v>
      </c>
      <c r="M20" s="19">
        <v>489930</v>
      </c>
      <c r="T20" s="17">
        <f t="shared" si="0"/>
        <v>1118445321</v>
      </c>
    </row>
    <row r="21" spans="1:20">
      <c r="A21" s="23">
        <v>18</v>
      </c>
      <c r="B21" s="12" t="s">
        <v>62</v>
      </c>
      <c r="C21" s="13" t="s">
        <v>26</v>
      </c>
      <c r="D21" s="22" t="s">
        <v>30</v>
      </c>
      <c r="E21" s="18">
        <v>45714</v>
      </c>
      <c r="F21" s="12" t="s">
        <v>62</v>
      </c>
      <c r="G21" s="12" t="s">
        <v>52</v>
      </c>
      <c r="H21" t="s">
        <v>63</v>
      </c>
      <c r="J21" s="19">
        <v>1960000</v>
      </c>
      <c r="T21" s="17">
        <f t="shared" si="0"/>
        <v>1960000</v>
      </c>
    </row>
    <row r="22" spans="1:20">
      <c r="A22" s="23">
        <v>19</v>
      </c>
      <c r="B22" s="12" t="s">
        <v>64</v>
      </c>
      <c r="C22" s="13" t="s">
        <v>26</v>
      </c>
      <c r="D22" s="22" t="s">
        <v>30</v>
      </c>
      <c r="E22" s="18">
        <v>45714</v>
      </c>
      <c r="F22" s="12" t="s">
        <v>64</v>
      </c>
      <c r="G22" s="12" t="s">
        <v>65</v>
      </c>
      <c r="H22" t="s">
        <v>66</v>
      </c>
      <c r="J22" s="20">
        <v>213085356</v>
      </c>
      <c r="L22">
        <v>21116568</v>
      </c>
      <c r="N22" s="19">
        <v>2879532</v>
      </c>
      <c r="T22" s="17">
        <f t="shared" si="0"/>
        <v>189089256</v>
      </c>
    </row>
    <row r="23" spans="1:20">
      <c r="A23" s="23">
        <v>20</v>
      </c>
      <c r="B23" s="12" t="s">
        <v>67</v>
      </c>
      <c r="C23" s="13" t="s">
        <v>26</v>
      </c>
      <c r="D23" s="22" t="s">
        <v>30</v>
      </c>
      <c r="E23" s="18">
        <v>45714</v>
      </c>
      <c r="F23" s="12" t="s">
        <v>67</v>
      </c>
      <c r="G23" s="12" t="s">
        <v>48</v>
      </c>
      <c r="H23" t="s">
        <v>27</v>
      </c>
      <c r="J23" s="19">
        <v>2047788140</v>
      </c>
      <c r="L23" s="19">
        <v>200224813</v>
      </c>
      <c r="N23" s="19">
        <v>27178528</v>
      </c>
      <c r="T23" s="17">
        <f t="shared" si="0"/>
        <v>1820384799</v>
      </c>
    </row>
    <row r="24" spans="1:20">
      <c r="A24" s="23">
        <v>21</v>
      </c>
      <c r="B24" s="12" t="s">
        <v>68</v>
      </c>
      <c r="C24" s="13" t="s">
        <v>26</v>
      </c>
      <c r="D24" s="22" t="s">
        <v>30</v>
      </c>
      <c r="E24" s="18">
        <v>45722</v>
      </c>
      <c r="F24" s="12" t="s">
        <v>68</v>
      </c>
      <c r="G24" s="12" t="s">
        <v>69</v>
      </c>
      <c r="H24" t="s">
        <v>70</v>
      </c>
      <c r="J24" s="20">
        <v>198000000</v>
      </c>
      <c r="L24">
        <v>19621622</v>
      </c>
      <c r="R24">
        <v>3121622</v>
      </c>
      <c r="T24" s="17">
        <f t="shared" si="0"/>
        <v>175256756</v>
      </c>
    </row>
    <row r="25" spans="1:20">
      <c r="A25" s="23">
        <v>22</v>
      </c>
      <c r="B25" s="12" t="s">
        <v>71</v>
      </c>
      <c r="C25" s="13" t="s">
        <v>26</v>
      </c>
      <c r="D25" s="22" t="s">
        <v>30</v>
      </c>
      <c r="E25" s="18">
        <v>45722</v>
      </c>
      <c r="F25" s="12" t="s">
        <v>71</v>
      </c>
      <c r="G25" s="12" t="s">
        <v>72</v>
      </c>
      <c r="H25" t="s">
        <v>73</v>
      </c>
      <c r="J25" s="19">
        <v>230102827</v>
      </c>
      <c r="L25" s="19">
        <v>6695947</v>
      </c>
      <c r="N25" s="19">
        <v>3236629</v>
      </c>
      <c r="O25" s="19">
        <v>138756</v>
      </c>
      <c r="T25" s="17">
        <f t="shared" si="0"/>
        <v>220031495</v>
      </c>
    </row>
    <row r="26" spans="1:20">
      <c r="A26" s="23">
        <v>23</v>
      </c>
      <c r="B26" s="12" t="s">
        <v>74</v>
      </c>
      <c r="C26" s="13" t="s">
        <v>26</v>
      </c>
      <c r="D26" s="22" t="s">
        <v>30</v>
      </c>
      <c r="E26" s="18">
        <v>45722</v>
      </c>
      <c r="F26" s="12" t="s">
        <v>74</v>
      </c>
      <c r="G26" s="12" t="s">
        <v>75</v>
      </c>
      <c r="H26" t="s">
        <v>73</v>
      </c>
      <c r="J26" s="20">
        <v>92203191</v>
      </c>
      <c r="L26" s="19">
        <v>559910</v>
      </c>
      <c r="N26" s="19">
        <v>84672</v>
      </c>
      <c r="O26" s="19">
        <v>1563609</v>
      </c>
      <c r="T26" s="17">
        <f t="shared" si="0"/>
        <v>89995000</v>
      </c>
    </row>
    <row r="27" spans="1:20">
      <c r="A27" s="23">
        <v>24</v>
      </c>
      <c r="B27" s="12" t="s">
        <v>76</v>
      </c>
      <c r="C27" s="13" t="s">
        <v>26</v>
      </c>
      <c r="D27" s="22" t="s">
        <v>30</v>
      </c>
      <c r="E27" s="18">
        <v>45724</v>
      </c>
      <c r="F27" s="12" t="s">
        <v>76</v>
      </c>
      <c r="G27" s="12" t="s">
        <v>77</v>
      </c>
      <c r="H27" t="s">
        <v>33</v>
      </c>
      <c r="J27" s="19">
        <v>192911758</v>
      </c>
      <c r="T27" s="17">
        <f t="shared" si="0"/>
        <v>192911758</v>
      </c>
    </row>
    <row r="28" spans="1:20">
      <c r="A28" s="23">
        <v>25</v>
      </c>
      <c r="B28" s="12" t="s">
        <v>78</v>
      </c>
      <c r="C28" s="13" t="s">
        <v>26</v>
      </c>
      <c r="D28" s="22" t="s">
        <v>86</v>
      </c>
      <c r="E28" s="18">
        <v>45724</v>
      </c>
      <c r="F28" s="12" t="s">
        <v>78</v>
      </c>
      <c r="G28" s="12" t="s">
        <v>79</v>
      </c>
      <c r="H28" t="s">
        <v>27</v>
      </c>
      <c r="J28" s="20">
        <v>1036797072</v>
      </c>
      <c r="L28" s="19"/>
      <c r="M28" s="19"/>
      <c r="N28" s="19"/>
      <c r="O28" s="19"/>
      <c r="T28" s="17">
        <f t="shared" si="0"/>
        <v>1036797072</v>
      </c>
    </row>
    <row r="29" spans="1:20">
      <c r="A29" s="23">
        <v>26</v>
      </c>
      <c r="B29" s="12" t="s">
        <v>80</v>
      </c>
      <c r="C29" s="13" t="s">
        <v>26</v>
      </c>
      <c r="D29" s="22" t="s">
        <v>30</v>
      </c>
      <c r="E29" s="18">
        <v>45731</v>
      </c>
      <c r="F29" s="12" t="s">
        <v>80</v>
      </c>
      <c r="G29" s="12" t="s">
        <v>81</v>
      </c>
      <c r="H29" t="s">
        <v>82</v>
      </c>
      <c r="J29" s="19">
        <v>149607325</v>
      </c>
      <c r="L29" s="19">
        <v>14825949</v>
      </c>
      <c r="M29" s="19"/>
      <c r="N29" s="19">
        <v>2021721</v>
      </c>
      <c r="O29" s="19"/>
      <c r="T29" s="17">
        <f t="shared" si="0"/>
        <v>132759655</v>
      </c>
    </row>
    <row r="30" spans="1:20">
      <c r="A30" s="23">
        <v>27</v>
      </c>
      <c r="B30" s="12" t="s">
        <v>83</v>
      </c>
      <c r="C30" s="13" t="s">
        <v>26</v>
      </c>
      <c r="D30" s="22" t="s">
        <v>30</v>
      </c>
      <c r="E30" s="18">
        <v>45731</v>
      </c>
      <c r="F30" s="12" t="s">
        <v>83</v>
      </c>
      <c r="G30" s="12" t="s">
        <v>37</v>
      </c>
      <c r="H30" t="s">
        <v>84</v>
      </c>
      <c r="J30" s="20">
        <v>113981677</v>
      </c>
      <c r="L30" s="19">
        <v>11295481</v>
      </c>
      <c r="M30" s="19"/>
      <c r="N30" s="19">
        <v>1540293</v>
      </c>
      <c r="O30" s="19"/>
      <c r="T30" s="17">
        <f t="shared" si="0"/>
        <v>101145903</v>
      </c>
    </row>
    <row r="31" spans="1:20">
      <c r="A31" s="23">
        <v>28</v>
      </c>
      <c r="B31" s="12" t="s">
        <v>85</v>
      </c>
      <c r="C31" s="13" t="s">
        <v>26</v>
      </c>
      <c r="D31" s="22" t="s">
        <v>30</v>
      </c>
      <c r="E31" s="18">
        <v>45731</v>
      </c>
      <c r="F31" s="12" t="s">
        <v>85</v>
      </c>
      <c r="G31" s="12" t="s">
        <v>37</v>
      </c>
      <c r="H31" t="s">
        <v>44</v>
      </c>
      <c r="J31" s="19">
        <v>124034774</v>
      </c>
      <c r="L31" s="19">
        <v>12291734</v>
      </c>
      <c r="N31" s="19">
        <v>1676146</v>
      </c>
      <c r="T31" s="17">
        <f t="shared" si="0"/>
        <v>110066894</v>
      </c>
    </row>
    <row r="32" spans="1:20">
      <c r="A32" s="23">
        <v>29</v>
      </c>
      <c r="B32" s="12" t="s">
        <v>87</v>
      </c>
      <c r="C32" s="13" t="s">
        <v>26</v>
      </c>
      <c r="D32" s="22" t="s">
        <v>30</v>
      </c>
      <c r="E32" s="18">
        <v>45731</v>
      </c>
      <c r="F32" s="12" t="s">
        <v>87</v>
      </c>
      <c r="G32" s="12" t="s">
        <v>37</v>
      </c>
      <c r="H32" t="s">
        <v>41</v>
      </c>
      <c r="J32" s="20">
        <v>379535640</v>
      </c>
      <c r="L32" s="19">
        <v>37611640</v>
      </c>
      <c r="N32" s="19">
        <v>5128860</v>
      </c>
      <c r="T32" s="17">
        <f t="shared" si="0"/>
        <v>336795140</v>
      </c>
    </row>
    <row r="33" spans="1:20">
      <c r="A33" s="23">
        <v>30</v>
      </c>
      <c r="B33" s="12" t="s">
        <v>88</v>
      </c>
      <c r="C33" s="13" t="s">
        <v>26</v>
      </c>
      <c r="D33" s="22" t="s">
        <v>30</v>
      </c>
      <c r="E33" s="18">
        <v>45731</v>
      </c>
      <c r="F33" s="12" t="s">
        <v>88</v>
      </c>
      <c r="G33" s="12" t="s">
        <v>89</v>
      </c>
      <c r="H33" t="s">
        <v>90</v>
      </c>
      <c r="J33" s="19">
        <v>70400000</v>
      </c>
      <c r="L33" s="19">
        <v>6976576</v>
      </c>
      <c r="N33" s="19">
        <v>951351</v>
      </c>
      <c r="T33" s="17">
        <f t="shared" si="0"/>
        <v>62472073</v>
      </c>
    </row>
    <row r="34" spans="1:20" s="12" customFormat="1" ht="45">
      <c r="A34" s="22">
        <v>31</v>
      </c>
      <c r="B34" s="12" t="s">
        <v>91</v>
      </c>
      <c r="C34" s="13" t="s">
        <v>26</v>
      </c>
      <c r="D34" s="22" t="s">
        <v>30</v>
      </c>
      <c r="E34" s="13">
        <v>45734</v>
      </c>
      <c r="F34" s="12" t="s">
        <v>91</v>
      </c>
      <c r="G34" s="16" t="s">
        <v>92</v>
      </c>
      <c r="H34" s="12" t="s">
        <v>55</v>
      </c>
      <c r="J34" s="20">
        <v>44094169</v>
      </c>
      <c r="L34" s="20">
        <v>4369692</v>
      </c>
      <c r="O34" s="20">
        <v>794490</v>
      </c>
      <c r="T34" s="17">
        <f t="shared" si="0"/>
        <v>38929987</v>
      </c>
    </row>
    <row r="35" spans="1:20">
      <c r="A35" s="23">
        <v>32</v>
      </c>
      <c r="B35" s="12" t="s">
        <v>93</v>
      </c>
      <c r="C35" s="13" t="s">
        <v>26</v>
      </c>
      <c r="D35" s="22" t="s">
        <v>30</v>
      </c>
      <c r="E35" s="13">
        <v>45734</v>
      </c>
      <c r="F35" s="12" t="s">
        <v>93</v>
      </c>
      <c r="G35" s="12" t="s">
        <v>94</v>
      </c>
      <c r="H35" t="s">
        <v>95</v>
      </c>
      <c r="J35" s="19">
        <v>24682376</v>
      </c>
      <c r="L35" s="19">
        <v>2446001</v>
      </c>
      <c r="N35" s="19">
        <v>333546</v>
      </c>
      <c r="T35" s="17">
        <f t="shared" si="0"/>
        <v>21902829</v>
      </c>
    </row>
    <row r="36" spans="1:20">
      <c r="A36" s="23">
        <v>33</v>
      </c>
      <c r="B36" s="12" t="s">
        <v>96</v>
      </c>
      <c r="C36" s="13" t="s">
        <v>26</v>
      </c>
      <c r="D36" s="22" t="s">
        <v>30</v>
      </c>
      <c r="E36" s="13">
        <v>45735</v>
      </c>
      <c r="F36" s="12" t="s">
        <v>96</v>
      </c>
      <c r="G36" s="12" t="s">
        <v>97</v>
      </c>
      <c r="H36" t="s">
        <v>27</v>
      </c>
      <c r="J36" s="20">
        <v>4225224103</v>
      </c>
      <c r="M36" s="19">
        <v>169281054</v>
      </c>
      <c r="T36" s="17">
        <f t="shared" si="0"/>
        <v>4055943049</v>
      </c>
    </row>
    <row r="37" spans="1:20">
      <c r="A37" s="23">
        <v>34</v>
      </c>
      <c r="B37" s="12" t="s">
        <v>98</v>
      </c>
      <c r="C37" s="13" t="s">
        <v>26</v>
      </c>
      <c r="D37" s="22" t="s">
        <v>30</v>
      </c>
      <c r="E37" s="13">
        <v>45735</v>
      </c>
      <c r="F37" s="12" t="s">
        <v>98</v>
      </c>
      <c r="G37" s="12" t="s">
        <v>99</v>
      </c>
      <c r="H37" t="s">
        <v>27</v>
      </c>
      <c r="J37" s="19">
        <v>86067817</v>
      </c>
      <c r="T37" s="17">
        <f t="shared" si="0"/>
        <v>86067817</v>
      </c>
    </row>
    <row r="38" spans="1:20">
      <c r="A38" s="23">
        <v>35</v>
      </c>
      <c r="B38" s="12" t="s">
        <v>100</v>
      </c>
      <c r="C38" s="13" t="s">
        <v>26</v>
      </c>
      <c r="D38" s="22" t="s">
        <v>30</v>
      </c>
      <c r="E38" s="13">
        <v>45736</v>
      </c>
      <c r="F38" s="12" t="s">
        <v>100</v>
      </c>
      <c r="G38" s="12" t="s">
        <v>101</v>
      </c>
      <c r="H38" t="s">
        <v>73</v>
      </c>
      <c r="J38" s="20">
        <v>78942025</v>
      </c>
      <c r="L38">
        <v>1624036</v>
      </c>
      <c r="N38" s="19">
        <v>249025</v>
      </c>
      <c r="O38" s="19">
        <v>1103933</v>
      </c>
      <c r="T38" s="17">
        <f t="shared" si="0"/>
        <v>75965031</v>
      </c>
    </row>
    <row r="39" spans="1:20">
      <c r="A39" s="23">
        <v>36</v>
      </c>
      <c r="B39" s="12" t="s">
        <v>102</v>
      </c>
      <c r="C39" s="13" t="s">
        <v>26</v>
      </c>
      <c r="D39" s="22" t="s">
        <v>30</v>
      </c>
      <c r="E39" s="13">
        <v>45736</v>
      </c>
      <c r="F39" s="12" t="s">
        <v>102</v>
      </c>
      <c r="G39" s="12" t="s">
        <v>103</v>
      </c>
      <c r="H39" t="s">
        <v>104</v>
      </c>
      <c r="J39" s="19">
        <v>32025720</v>
      </c>
      <c r="L39" s="19">
        <v>3173720</v>
      </c>
      <c r="M39" s="19"/>
      <c r="N39" s="19"/>
      <c r="O39" s="19">
        <v>577040</v>
      </c>
      <c r="T39" s="17">
        <f t="shared" si="0"/>
        <v>28274960</v>
      </c>
    </row>
    <row r="40" spans="1:20">
      <c r="A40" s="23">
        <v>37</v>
      </c>
      <c r="B40" s="12" t="s">
        <v>105</v>
      </c>
      <c r="C40" s="13" t="s">
        <v>26</v>
      </c>
      <c r="D40" s="22" t="s">
        <v>30</v>
      </c>
      <c r="E40" s="13">
        <v>45736</v>
      </c>
      <c r="F40" s="12" t="s">
        <v>105</v>
      </c>
      <c r="G40" s="12" t="s">
        <v>106</v>
      </c>
      <c r="H40" t="s">
        <v>73</v>
      </c>
      <c r="J40" s="20">
        <v>210647181</v>
      </c>
      <c r="L40" s="19">
        <v>6951442</v>
      </c>
      <c r="N40" s="19">
        <v>2972495</v>
      </c>
      <c r="O40" s="19">
        <v>100535</v>
      </c>
      <c r="T40" s="17">
        <f t="shared" si="0"/>
        <v>200622709</v>
      </c>
    </row>
    <row r="41" spans="1:20">
      <c r="A41" s="23">
        <v>38</v>
      </c>
      <c r="B41" s="12" t="s">
        <v>107</v>
      </c>
      <c r="C41" s="13" t="s">
        <v>26</v>
      </c>
      <c r="D41" s="22" t="s">
        <v>30</v>
      </c>
      <c r="E41" s="13">
        <v>45736</v>
      </c>
      <c r="F41" s="12" t="s">
        <v>107</v>
      </c>
      <c r="G41" s="12" t="s">
        <v>99</v>
      </c>
      <c r="H41" t="s">
        <v>27</v>
      </c>
      <c r="J41" s="19">
        <v>997970833</v>
      </c>
      <c r="M41" s="19">
        <v>318750</v>
      </c>
      <c r="T41" s="17">
        <f t="shared" si="0"/>
        <v>997652083</v>
      </c>
    </row>
    <row r="42" spans="1:20">
      <c r="A42" s="23">
        <v>39</v>
      </c>
      <c r="B42" s="12" t="s">
        <v>108</v>
      </c>
      <c r="C42" s="13" t="s">
        <v>26</v>
      </c>
      <c r="D42" s="22" t="s">
        <v>30</v>
      </c>
      <c r="E42" s="13">
        <v>45738</v>
      </c>
      <c r="F42" s="12" t="s">
        <v>108</v>
      </c>
      <c r="G42" s="12" t="s">
        <v>99</v>
      </c>
      <c r="H42" t="s">
        <v>27</v>
      </c>
      <c r="J42" s="20">
        <v>2544245859</v>
      </c>
      <c r="M42" s="19">
        <v>78246946</v>
      </c>
      <c r="T42" s="17">
        <f t="shared" si="0"/>
        <v>2465998913</v>
      </c>
    </row>
    <row r="43" spans="1:20">
      <c r="A43" s="23">
        <v>40</v>
      </c>
      <c r="B43" s="12" t="s">
        <v>109</v>
      </c>
      <c r="C43" s="13" t="s">
        <v>26</v>
      </c>
      <c r="D43" s="22" t="s">
        <v>30</v>
      </c>
      <c r="E43" s="13">
        <v>45740</v>
      </c>
      <c r="F43" s="12" t="s">
        <v>109</v>
      </c>
      <c r="G43" s="12" t="s">
        <v>35</v>
      </c>
      <c r="H43" t="s">
        <v>27</v>
      </c>
      <c r="J43" s="19">
        <v>1129994158</v>
      </c>
      <c r="M43" s="19">
        <v>586110</v>
      </c>
      <c r="T43" s="17">
        <f t="shared" si="0"/>
        <v>1129408048</v>
      </c>
    </row>
    <row r="44" spans="1:20">
      <c r="A44" s="23">
        <v>41</v>
      </c>
      <c r="B44" s="12" t="s">
        <v>110</v>
      </c>
      <c r="C44" s="13" t="s">
        <v>26</v>
      </c>
      <c r="D44" s="22" t="s">
        <v>30</v>
      </c>
      <c r="E44" s="13">
        <v>45740</v>
      </c>
      <c r="F44" s="12" t="s">
        <v>110</v>
      </c>
      <c r="G44" s="12" t="s">
        <v>111</v>
      </c>
      <c r="H44" t="s">
        <v>112</v>
      </c>
      <c r="J44" s="20">
        <v>62430008</v>
      </c>
      <c r="L44" s="19">
        <v>6186758</v>
      </c>
      <c r="M44" s="19">
        <v>843649</v>
      </c>
      <c r="T44" s="17">
        <f t="shared" si="0"/>
        <v>55399601</v>
      </c>
    </row>
    <row r="45" spans="1:20">
      <c r="A45" s="23">
        <v>42</v>
      </c>
      <c r="B45" s="12" t="s">
        <v>113</v>
      </c>
      <c r="C45" s="13" t="s">
        <v>26</v>
      </c>
      <c r="D45" s="22" t="s">
        <v>30</v>
      </c>
      <c r="E45" s="13">
        <v>45740</v>
      </c>
      <c r="F45" s="12" t="s">
        <v>113</v>
      </c>
      <c r="G45" s="12" t="s">
        <v>114</v>
      </c>
      <c r="H45" t="s">
        <v>115</v>
      </c>
      <c r="J45" s="19">
        <v>325000000</v>
      </c>
      <c r="L45" s="19">
        <v>32207207</v>
      </c>
      <c r="M45" s="19">
        <v>5855856</v>
      </c>
      <c r="T45" s="17">
        <f t="shared" si="0"/>
        <v>286936937</v>
      </c>
    </row>
    <row r="46" spans="1:20">
      <c r="A46" s="23">
        <v>43</v>
      </c>
      <c r="B46" s="12" t="s">
        <v>116</v>
      </c>
      <c r="C46" s="13" t="s">
        <v>26</v>
      </c>
      <c r="D46" s="22" t="s">
        <v>30</v>
      </c>
      <c r="E46" s="13">
        <v>45742</v>
      </c>
      <c r="F46" s="12" t="s">
        <v>116</v>
      </c>
      <c r="G46" s="12" t="s">
        <v>117</v>
      </c>
      <c r="H46" t="s">
        <v>44</v>
      </c>
      <c r="J46" s="20">
        <v>85745117</v>
      </c>
      <c r="L46" s="19">
        <v>8497263</v>
      </c>
      <c r="N46" s="19">
        <v>1158718</v>
      </c>
      <c r="T46" s="17">
        <f t="shared" si="0"/>
        <v>76089136</v>
      </c>
    </row>
    <row r="47" spans="1:20">
      <c r="A47" s="23">
        <v>44</v>
      </c>
      <c r="B47" s="12" t="s">
        <v>118</v>
      </c>
      <c r="C47" s="13" t="s">
        <v>26</v>
      </c>
      <c r="D47" s="22" t="s">
        <v>30</v>
      </c>
      <c r="E47" s="13">
        <v>45742</v>
      </c>
      <c r="F47" s="12" t="s">
        <v>118</v>
      </c>
      <c r="G47" s="12" t="s">
        <v>119</v>
      </c>
      <c r="H47" t="s">
        <v>27</v>
      </c>
      <c r="J47" s="19">
        <v>2478155617</v>
      </c>
      <c r="L47" s="19">
        <v>241360785</v>
      </c>
      <c r="N47" s="19">
        <v>33358462</v>
      </c>
      <c r="T47" s="17">
        <f t="shared" si="0"/>
        <v>2203436370</v>
      </c>
    </row>
    <row r="48" spans="1:20">
      <c r="A48" s="23">
        <v>45</v>
      </c>
      <c r="B48" s="12" t="s">
        <v>120</v>
      </c>
      <c r="C48" s="13" t="s">
        <v>26</v>
      </c>
      <c r="D48" s="22" t="s">
        <v>30</v>
      </c>
      <c r="E48" s="13">
        <v>45742</v>
      </c>
      <c r="F48" s="12" t="s">
        <v>120</v>
      </c>
      <c r="G48" s="12" t="s">
        <v>121</v>
      </c>
      <c r="H48" t="s">
        <v>104</v>
      </c>
      <c r="J48" s="30">
        <v>31541760</v>
      </c>
      <c r="L48" s="19">
        <v>3125760</v>
      </c>
      <c r="O48" s="19">
        <v>568320</v>
      </c>
      <c r="T48" s="17">
        <f t="shared" si="0"/>
        <v>27847680</v>
      </c>
    </row>
    <row r="49" spans="1:20">
      <c r="A49" s="23">
        <v>46</v>
      </c>
      <c r="B49" s="12" t="s">
        <v>122</v>
      </c>
      <c r="C49" s="13">
        <v>45657</v>
      </c>
      <c r="D49" s="22" t="s">
        <v>30</v>
      </c>
      <c r="E49" s="18">
        <v>45757</v>
      </c>
      <c r="F49" t="s">
        <v>122</v>
      </c>
      <c r="G49" s="12" t="s">
        <v>123</v>
      </c>
      <c r="H49" t="s">
        <v>33</v>
      </c>
      <c r="J49" s="31">
        <v>206234645</v>
      </c>
      <c r="T49" s="17">
        <f t="shared" si="0"/>
        <v>206234645</v>
      </c>
    </row>
    <row r="50" spans="1:20">
      <c r="A50" s="23">
        <v>47</v>
      </c>
      <c r="B50" s="12" t="s">
        <v>124</v>
      </c>
      <c r="C50" s="13">
        <v>45657</v>
      </c>
      <c r="D50" s="23" t="s">
        <v>30</v>
      </c>
      <c r="E50" s="18">
        <v>45757</v>
      </c>
      <c r="F50" t="s">
        <v>124</v>
      </c>
      <c r="G50" s="12" t="s">
        <v>125</v>
      </c>
      <c r="H50" t="s">
        <v>126</v>
      </c>
      <c r="J50" s="31">
        <v>262350000</v>
      </c>
      <c r="T50" s="17">
        <f t="shared" si="0"/>
        <v>262350000</v>
      </c>
    </row>
    <row r="51" spans="1:20">
      <c r="A51" s="23">
        <v>48</v>
      </c>
      <c r="B51" s="12" t="s">
        <v>127</v>
      </c>
      <c r="C51" s="13">
        <v>45657</v>
      </c>
      <c r="D51" s="23" t="s">
        <v>30</v>
      </c>
      <c r="E51" s="18">
        <v>45757</v>
      </c>
      <c r="F51" s="12" t="s">
        <v>127</v>
      </c>
      <c r="G51" s="12" t="s">
        <v>131</v>
      </c>
      <c r="H51" t="s">
        <v>128</v>
      </c>
      <c r="J51" s="31">
        <v>218670000</v>
      </c>
      <c r="L51" s="19">
        <v>21670000</v>
      </c>
      <c r="N51" s="31">
        <v>2955000</v>
      </c>
      <c r="T51" s="17" t="e">
        <f>J51-K51-L51-M51-N51-#REF!-P51-Q51-R51-S51</f>
        <v>#REF!</v>
      </c>
    </row>
    <row r="52" spans="1:20">
      <c r="A52" s="23">
        <v>49</v>
      </c>
      <c r="B52" s="12" t="s">
        <v>130</v>
      </c>
      <c r="C52" s="13">
        <v>45657</v>
      </c>
      <c r="D52" s="23" t="s">
        <v>129</v>
      </c>
      <c r="E52" s="18">
        <v>45757</v>
      </c>
      <c r="F52" s="12" t="s">
        <v>130</v>
      </c>
      <c r="G52" s="12" t="s">
        <v>132</v>
      </c>
      <c r="H52" t="s">
        <v>128</v>
      </c>
      <c r="J52" s="31">
        <v>218670000</v>
      </c>
      <c r="L52" s="19">
        <v>21670000</v>
      </c>
      <c r="N52" s="31">
        <v>2955000</v>
      </c>
      <c r="T52" s="17" t="e">
        <f>J52-K52-L52-M52-N52-#REF!-P52-Q52-R52-S52</f>
        <v>#REF!</v>
      </c>
    </row>
    <row r="53" spans="1:20">
      <c r="A53" s="23">
        <v>50</v>
      </c>
      <c r="B53" s="12" t="s">
        <v>133</v>
      </c>
      <c r="C53" s="13">
        <v>45657</v>
      </c>
      <c r="D53" s="23" t="s">
        <v>30</v>
      </c>
      <c r="E53" s="18">
        <v>45763</v>
      </c>
      <c r="F53" s="12" t="s">
        <v>133</v>
      </c>
      <c r="G53" s="12" t="s">
        <v>134</v>
      </c>
      <c r="H53" t="s">
        <v>135</v>
      </c>
      <c r="J53" s="31">
        <v>107189175</v>
      </c>
      <c r="L53" s="19">
        <v>10622347</v>
      </c>
      <c r="N53" s="31">
        <v>1448502</v>
      </c>
      <c r="T53" s="17" t="e">
        <f>J53-K53-L53-M53-N53-#REF!-P53-Q53-R53-S53</f>
        <v>#REF!</v>
      </c>
    </row>
    <row r="54" spans="1:20">
      <c r="A54" s="23">
        <v>51</v>
      </c>
      <c r="B54" s="12" t="s">
        <v>136</v>
      </c>
      <c r="C54" s="13">
        <v>45657</v>
      </c>
      <c r="D54" s="23" t="s">
        <v>30</v>
      </c>
      <c r="E54" s="18">
        <v>45763</v>
      </c>
      <c r="F54" s="12" t="s">
        <v>136</v>
      </c>
      <c r="G54" s="12" t="s">
        <v>137</v>
      </c>
      <c r="H54" t="s">
        <v>138</v>
      </c>
      <c r="J54" s="31">
        <v>2800000</v>
      </c>
      <c r="L54" s="19">
        <v>277478</v>
      </c>
      <c r="N54" s="31">
        <v>37838</v>
      </c>
      <c r="O54" s="31"/>
      <c r="T54" s="17">
        <f t="shared" si="0"/>
        <v>2484684</v>
      </c>
    </row>
    <row r="55" spans="1:20">
      <c r="A55" s="23">
        <v>52</v>
      </c>
      <c r="B55" s="12" t="s">
        <v>139</v>
      </c>
      <c r="C55" s="13">
        <v>45657</v>
      </c>
      <c r="D55" s="23" t="s">
        <v>129</v>
      </c>
      <c r="E55" s="18">
        <v>45763</v>
      </c>
      <c r="F55" s="12" t="s">
        <v>139</v>
      </c>
      <c r="G55" s="12" t="s">
        <v>140</v>
      </c>
      <c r="H55" t="s">
        <v>138</v>
      </c>
      <c r="J55" s="31">
        <v>114174920</v>
      </c>
      <c r="L55" s="19">
        <v>11314633</v>
      </c>
      <c r="N55" s="31">
        <v>1542904</v>
      </c>
      <c r="O55" s="31"/>
      <c r="T55" s="17">
        <f t="shared" si="0"/>
        <v>101317383</v>
      </c>
    </row>
    <row r="56" spans="1:20">
      <c r="A56" s="23">
        <v>53</v>
      </c>
      <c r="B56" s="12" t="s">
        <v>141</v>
      </c>
      <c r="C56" s="18">
        <v>45657</v>
      </c>
      <c r="D56" s="23" t="s">
        <v>30</v>
      </c>
      <c r="E56" s="18">
        <v>45763</v>
      </c>
      <c r="F56" s="12" t="s">
        <v>141</v>
      </c>
      <c r="G56" s="12" t="s">
        <v>35</v>
      </c>
      <c r="H56" t="s">
        <v>142</v>
      </c>
      <c r="J56" s="31">
        <v>4597479396</v>
      </c>
      <c r="L56" s="19">
        <v>190954177</v>
      </c>
      <c r="N56" s="31"/>
      <c r="O56" s="31"/>
      <c r="T56" s="17">
        <f t="shared" si="0"/>
        <v>4406525219</v>
      </c>
    </row>
    <row r="57" spans="1:20">
      <c r="A57" s="23">
        <v>54</v>
      </c>
      <c r="B57" s="12" t="s">
        <v>143</v>
      </c>
      <c r="C57" s="18">
        <v>45657</v>
      </c>
      <c r="D57" s="23" t="s">
        <v>129</v>
      </c>
      <c r="E57" s="18">
        <v>45763</v>
      </c>
      <c r="F57" s="12" t="s">
        <v>143</v>
      </c>
      <c r="G57" s="12" t="s">
        <v>144</v>
      </c>
      <c r="H57" t="s">
        <v>142</v>
      </c>
      <c r="J57" s="31">
        <v>85536822</v>
      </c>
      <c r="N57" s="31"/>
      <c r="O57" s="31"/>
      <c r="T57" s="17">
        <f t="shared" si="0"/>
        <v>85536822</v>
      </c>
    </row>
    <row r="58" spans="1:20">
      <c r="A58" s="23">
        <v>55</v>
      </c>
      <c r="B58" s="12" t="s">
        <v>145</v>
      </c>
      <c r="C58" s="18">
        <v>45657</v>
      </c>
      <c r="D58" s="23" t="s">
        <v>30</v>
      </c>
      <c r="E58" s="18">
        <v>45771</v>
      </c>
      <c r="F58" s="12" t="s">
        <v>145</v>
      </c>
      <c r="G58" s="12" t="s">
        <v>147</v>
      </c>
      <c r="H58" t="s">
        <v>148</v>
      </c>
      <c r="J58" s="31">
        <v>54206850</v>
      </c>
      <c r="L58" s="19">
        <v>5371850</v>
      </c>
      <c r="N58" s="31">
        <v>976700</v>
      </c>
      <c r="O58" s="31"/>
      <c r="T58" s="17">
        <f t="shared" si="0"/>
        <v>47858300</v>
      </c>
    </row>
    <row r="59" spans="1:20">
      <c r="A59" s="23">
        <v>56</v>
      </c>
      <c r="B59" s="12" t="s">
        <v>149</v>
      </c>
      <c r="C59" s="18">
        <v>45657</v>
      </c>
      <c r="D59" s="23" t="s">
        <v>129</v>
      </c>
      <c r="E59" s="18">
        <v>45771</v>
      </c>
      <c r="F59" s="12" t="s">
        <v>149</v>
      </c>
      <c r="G59" s="12" t="s">
        <v>147</v>
      </c>
      <c r="H59" t="s">
        <v>148</v>
      </c>
      <c r="J59" s="31">
        <v>54206850</v>
      </c>
      <c r="L59" s="19">
        <v>5371850</v>
      </c>
      <c r="N59" s="31">
        <v>976700</v>
      </c>
      <c r="O59" s="31"/>
      <c r="T59" s="17">
        <f t="shared" si="0"/>
        <v>47858300</v>
      </c>
    </row>
    <row r="60" spans="1:20">
      <c r="A60" s="23">
        <v>57</v>
      </c>
      <c r="B60" s="12" t="s">
        <v>150</v>
      </c>
      <c r="C60" s="18">
        <v>45657</v>
      </c>
      <c r="D60" s="23" t="s">
        <v>30</v>
      </c>
      <c r="E60" s="18">
        <v>45771</v>
      </c>
      <c r="F60" s="12" t="s">
        <v>150</v>
      </c>
      <c r="G60" s="12" t="s">
        <v>151</v>
      </c>
      <c r="I60" t="s">
        <v>152</v>
      </c>
      <c r="J60" s="31">
        <v>16563000</v>
      </c>
      <c r="L60" s="19">
        <v>1641378</v>
      </c>
      <c r="N60" s="31">
        <v>223824</v>
      </c>
      <c r="O60" s="31"/>
      <c r="T60" s="17">
        <f t="shared" si="0"/>
        <v>14697798</v>
      </c>
    </row>
    <row r="61" spans="1:20">
      <c r="A61" s="23">
        <v>58</v>
      </c>
      <c r="B61" s="12" t="s">
        <v>153</v>
      </c>
      <c r="C61" s="18">
        <v>45657</v>
      </c>
      <c r="D61" s="23" t="s">
        <v>129</v>
      </c>
      <c r="E61" s="18">
        <v>45771</v>
      </c>
      <c r="F61" s="12" t="s">
        <v>153</v>
      </c>
      <c r="G61" s="12" t="s">
        <v>154</v>
      </c>
      <c r="H61" t="s">
        <v>138</v>
      </c>
      <c r="J61" s="31">
        <v>103450000</v>
      </c>
      <c r="L61" s="19">
        <v>10251802</v>
      </c>
      <c r="N61" s="31">
        <v>1397973</v>
      </c>
      <c r="O61" s="31"/>
      <c r="T61" s="17">
        <f t="shared" si="0"/>
        <v>91800225</v>
      </c>
    </row>
    <row r="62" spans="1:20">
      <c r="A62" s="23">
        <v>59</v>
      </c>
      <c r="B62" s="12" t="s">
        <v>155</v>
      </c>
      <c r="C62" s="18">
        <v>45657</v>
      </c>
      <c r="D62" s="23" t="s">
        <v>129</v>
      </c>
      <c r="E62" s="18">
        <v>45771</v>
      </c>
      <c r="F62" s="12" t="s">
        <v>155</v>
      </c>
      <c r="G62" s="12" t="s">
        <v>156</v>
      </c>
      <c r="H62" t="s">
        <v>157</v>
      </c>
      <c r="J62" s="31">
        <v>162857401</v>
      </c>
      <c r="L62" s="19">
        <v>16139020</v>
      </c>
      <c r="N62" s="31">
        <v>2200776</v>
      </c>
      <c r="O62" s="31"/>
      <c r="T62" s="17">
        <f t="shared" si="0"/>
        <v>144517605</v>
      </c>
    </row>
    <row r="63" spans="1:20">
      <c r="A63" s="23">
        <v>60</v>
      </c>
      <c r="B63" s="12" t="s">
        <v>158</v>
      </c>
      <c r="C63" s="18">
        <v>45657</v>
      </c>
      <c r="D63" s="23" t="s">
        <v>129</v>
      </c>
      <c r="E63" s="18">
        <v>45771</v>
      </c>
      <c r="F63" s="12" t="s">
        <v>146</v>
      </c>
      <c r="G63" s="12" t="s">
        <v>159</v>
      </c>
      <c r="H63" t="s">
        <v>142</v>
      </c>
      <c r="J63" s="31">
        <v>1125421358</v>
      </c>
      <c r="M63" s="31">
        <v>571110</v>
      </c>
      <c r="N63" s="31"/>
      <c r="O63" s="31"/>
      <c r="T63" s="17">
        <f t="shared" si="0"/>
        <v>1124850248</v>
      </c>
    </row>
    <row r="64" spans="1:20">
      <c r="A64" s="23">
        <v>61</v>
      </c>
      <c r="B64" s="12" t="s">
        <v>160</v>
      </c>
      <c r="C64" s="18">
        <v>45657</v>
      </c>
      <c r="D64" s="23" t="s">
        <v>161</v>
      </c>
      <c r="E64" s="18">
        <v>45771</v>
      </c>
      <c r="F64" s="12" t="s">
        <v>160</v>
      </c>
      <c r="G64" s="12" t="s">
        <v>162</v>
      </c>
      <c r="H64" t="s">
        <v>163</v>
      </c>
      <c r="J64" s="31">
        <v>24026497</v>
      </c>
      <c r="L64" s="19">
        <v>2381004</v>
      </c>
      <c r="M64" s="31"/>
      <c r="N64" s="31"/>
      <c r="O64" s="31">
        <v>432910</v>
      </c>
      <c r="T64" s="17">
        <f t="shared" si="0"/>
        <v>21212583</v>
      </c>
    </row>
    <row r="65" spans="1:20">
      <c r="A65" s="23">
        <v>62</v>
      </c>
      <c r="B65" s="12" t="s">
        <v>164</v>
      </c>
      <c r="C65" s="18">
        <v>45657</v>
      </c>
      <c r="D65" s="23" t="s">
        <v>30</v>
      </c>
      <c r="E65" s="18">
        <v>45776</v>
      </c>
      <c r="F65" s="12" t="s">
        <v>164</v>
      </c>
      <c r="G65" s="12" t="s">
        <v>165</v>
      </c>
      <c r="H65" t="s">
        <v>126</v>
      </c>
      <c r="J65" s="31">
        <v>285750000</v>
      </c>
      <c r="M65" s="31"/>
      <c r="N65" s="31"/>
      <c r="T65" s="17">
        <f t="shared" si="0"/>
        <v>285750000</v>
      </c>
    </row>
    <row r="66" spans="1:20">
      <c r="A66" s="23">
        <v>63</v>
      </c>
      <c r="B66" s="12" t="s">
        <v>166</v>
      </c>
      <c r="C66" s="18">
        <v>45657</v>
      </c>
      <c r="D66" s="23" t="s">
        <v>30</v>
      </c>
      <c r="E66" s="18">
        <v>45776</v>
      </c>
      <c r="F66" s="12" t="s">
        <v>166</v>
      </c>
      <c r="G66" s="12" t="s">
        <v>167</v>
      </c>
      <c r="J66" s="31">
        <v>336385500</v>
      </c>
      <c r="L66" s="19">
        <v>33335500</v>
      </c>
      <c r="M66" s="31"/>
      <c r="N66" s="31">
        <v>4545750</v>
      </c>
      <c r="T66" s="17">
        <f t="shared" si="0"/>
        <v>298504250</v>
      </c>
    </row>
    <row r="67" spans="1:20">
      <c r="A67" s="23">
        <v>64</v>
      </c>
      <c r="B67" s="12" t="s">
        <v>168</v>
      </c>
      <c r="C67" s="18">
        <v>45657</v>
      </c>
      <c r="D67" s="23" t="s">
        <v>161</v>
      </c>
      <c r="E67" s="18">
        <v>45776</v>
      </c>
      <c r="F67" s="12" t="s">
        <v>168</v>
      </c>
      <c r="G67" s="12" t="s">
        <v>169</v>
      </c>
      <c r="H67" t="s">
        <v>170</v>
      </c>
      <c r="J67" s="31">
        <v>97486000</v>
      </c>
      <c r="L67" s="31">
        <v>9660787</v>
      </c>
      <c r="M67" s="31"/>
      <c r="N67" s="31">
        <v>1317378</v>
      </c>
      <c r="T67" s="17">
        <f t="shared" si="0"/>
        <v>86507835</v>
      </c>
    </row>
    <row r="68" spans="1:20">
      <c r="A68" s="23">
        <v>65</v>
      </c>
      <c r="B68" s="12" t="s">
        <v>171</v>
      </c>
      <c r="C68" s="18">
        <v>45657</v>
      </c>
      <c r="D68" s="23" t="s">
        <v>30</v>
      </c>
      <c r="E68" s="18">
        <v>45776</v>
      </c>
      <c r="F68" s="12" t="s">
        <v>171</v>
      </c>
      <c r="G68" s="12" t="s">
        <v>169</v>
      </c>
      <c r="J68" s="31">
        <v>50750000</v>
      </c>
      <c r="K68" s="31"/>
      <c r="L68" s="31">
        <v>5029280</v>
      </c>
      <c r="M68" s="31"/>
      <c r="N68" s="31">
        <v>685811</v>
      </c>
      <c r="O68" s="31"/>
      <c r="T68" s="17">
        <f t="shared" ref="T68:T78" si="1">J68-K68-L68-M68-N68-O68-P68-Q68-R68-S68</f>
        <v>45034909</v>
      </c>
    </row>
    <row r="69" spans="1:20">
      <c r="A69" s="23">
        <v>66</v>
      </c>
      <c r="B69" s="12" t="s">
        <v>172</v>
      </c>
      <c r="C69" s="18">
        <v>45657</v>
      </c>
      <c r="D69" s="23" t="s">
        <v>129</v>
      </c>
      <c r="E69" s="18">
        <v>45776</v>
      </c>
      <c r="F69" s="12" t="s">
        <v>172</v>
      </c>
      <c r="G69" s="12" t="s">
        <v>173</v>
      </c>
      <c r="H69" t="s">
        <v>174</v>
      </c>
      <c r="J69" s="31">
        <v>257214285</v>
      </c>
      <c r="K69" s="31"/>
      <c r="L69" s="31">
        <v>25489704</v>
      </c>
      <c r="M69" s="31"/>
      <c r="N69" s="31">
        <v>3475869</v>
      </c>
      <c r="O69" s="31"/>
      <c r="T69" s="17">
        <f t="shared" si="1"/>
        <v>228248712</v>
      </c>
    </row>
    <row r="70" spans="1:20">
      <c r="A70" s="23">
        <v>67</v>
      </c>
      <c r="B70" s="12" t="s">
        <v>175</v>
      </c>
      <c r="C70" s="18">
        <v>45657</v>
      </c>
      <c r="D70" s="23" t="s">
        <v>30</v>
      </c>
      <c r="E70" s="18">
        <v>45776</v>
      </c>
      <c r="F70" s="12" t="s">
        <v>175</v>
      </c>
      <c r="G70" s="12" t="s">
        <v>176</v>
      </c>
      <c r="H70" t="s">
        <v>177</v>
      </c>
      <c r="J70" s="31">
        <v>158598537</v>
      </c>
      <c r="K70" s="31"/>
      <c r="L70" s="31">
        <v>15716971</v>
      </c>
      <c r="M70" s="31"/>
      <c r="N70" s="31">
        <v>2143223</v>
      </c>
      <c r="O70" s="31"/>
      <c r="T70" s="17">
        <f t="shared" si="1"/>
        <v>140738343</v>
      </c>
    </row>
    <row r="71" spans="1:20">
      <c r="A71" s="23">
        <v>68</v>
      </c>
      <c r="B71" s="12" t="s">
        <v>178</v>
      </c>
      <c r="C71" s="18">
        <v>45657</v>
      </c>
      <c r="D71" s="23" t="s">
        <v>129</v>
      </c>
      <c r="E71" s="18">
        <v>45776</v>
      </c>
      <c r="F71" s="12" t="s">
        <v>178</v>
      </c>
      <c r="G71" s="12" t="s">
        <v>179</v>
      </c>
      <c r="H71" t="s">
        <v>135</v>
      </c>
      <c r="J71" s="31">
        <v>110900821</v>
      </c>
      <c r="K71" s="31"/>
      <c r="L71" s="31">
        <v>10990171</v>
      </c>
      <c r="M71" s="31"/>
      <c r="N71" s="31">
        <v>1498660</v>
      </c>
      <c r="O71" s="31"/>
      <c r="T71" s="17">
        <f t="shared" si="1"/>
        <v>98411990</v>
      </c>
    </row>
    <row r="72" spans="1:20">
      <c r="A72" s="23">
        <v>69</v>
      </c>
      <c r="B72" s="12" t="s">
        <v>180</v>
      </c>
      <c r="C72" s="18">
        <v>45657</v>
      </c>
      <c r="D72" s="23" t="s">
        <v>30</v>
      </c>
      <c r="E72" s="18">
        <v>45776</v>
      </c>
      <c r="F72" s="12" t="s">
        <v>180</v>
      </c>
      <c r="G72" s="12" t="s">
        <v>181</v>
      </c>
      <c r="H72" t="s">
        <v>182</v>
      </c>
      <c r="J72" s="31">
        <v>125934118</v>
      </c>
      <c r="K72" s="31"/>
      <c r="L72" s="31">
        <v>12479958</v>
      </c>
      <c r="M72" s="31"/>
      <c r="N72" s="31">
        <v>1701812</v>
      </c>
      <c r="O72" s="31"/>
      <c r="T72" s="17">
        <f t="shared" si="1"/>
        <v>111752348</v>
      </c>
    </row>
    <row r="73" spans="1:20">
      <c r="A73" s="23">
        <v>70</v>
      </c>
      <c r="B73" s="12" t="s">
        <v>183</v>
      </c>
      <c r="C73" s="18">
        <v>45657</v>
      </c>
      <c r="D73" s="23" t="s">
        <v>129</v>
      </c>
      <c r="E73" s="18">
        <v>45776</v>
      </c>
      <c r="F73" s="12" t="s">
        <v>183</v>
      </c>
      <c r="G73" t="s">
        <v>184</v>
      </c>
      <c r="H73" t="s">
        <v>185</v>
      </c>
      <c r="J73" s="31">
        <v>7110000</v>
      </c>
      <c r="K73" s="31"/>
      <c r="L73" s="31">
        <v>704595</v>
      </c>
      <c r="M73" s="31"/>
      <c r="N73" s="31">
        <v>96081</v>
      </c>
      <c r="O73" s="31"/>
      <c r="T73" s="17">
        <f t="shared" si="1"/>
        <v>6309324</v>
      </c>
    </row>
    <row r="74" spans="1:20">
      <c r="A74" s="23">
        <v>71</v>
      </c>
      <c r="B74" s="12" t="s">
        <v>186</v>
      </c>
      <c r="C74" s="18">
        <v>45657</v>
      </c>
      <c r="D74" s="23" t="s">
        <v>30</v>
      </c>
      <c r="E74" s="18">
        <v>45776</v>
      </c>
      <c r="F74" s="12" t="s">
        <v>186</v>
      </c>
      <c r="G74" s="12" t="s">
        <v>187</v>
      </c>
      <c r="H74" t="s">
        <v>188</v>
      </c>
      <c r="J74" s="31">
        <v>84615412</v>
      </c>
      <c r="K74" s="31"/>
      <c r="L74" s="31">
        <v>8385311</v>
      </c>
      <c r="M74" s="31"/>
      <c r="N74" s="31">
        <v>1143452</v>
      </c>
      <c r="O74" s="31"/>
      <c r="T74" s="17">
        <f t="shared" si="1"/>
        <v>75086649</v>
      </c>
    </row>
    <row r="75" spans="1:20">
      <c r="A75" s="23">
        <v>72</v>
      </c>
      <c r="B75" s="12" t="s">
        <v>189</v>
      </c>
      <c r="C75" s="18">
        <v>45657</v>
      </c>
      <c r="D75" s="23" t="s">
        <v>30</v>
      </c>
      <c r="E75" s="18">
        <v>45776</v>
      </c>
      <c r="F75" s="12" t="s">
        <v>189</v>
      </c>
      <c r="G75" s="12" t="s">
        <v>190</v>
      </c>
      <c r="H75" t="s">
        <v>142</v>
      </c>
      <c r="J75" s="31">
        <v>2581500523</v>
      </c>
      <c r="K75" s="31"/>
      <c r="L75" s="31">
        <v>250206233</v>
      </c>
      <c r="M75" s="31"/>
      <c r="N75" s="31">
        <v>34119038</v>
      </c>
      <c r="O75" s="31"/>
      <c r="T75" s="17">
        <f t="shared" si="1"/>
        <v>2297175252</v>
      </c>
    </row>
    <row r="76" spans="1:20">
      <c r="A76" s="23">
        <v>73</v>
      </c>
      <c r="B76" s="12" t="s">
        <v>192</v>
      </c>
      <c r="C76" s="18">
        <v>45657</v>
      </c>
      <c r="D76" s="23" t="s">
        <v>30</v>
      </c>
      <c r="E76" s="18">
        <v>45776</v>
      </c>
      <c r="F76" s="12" t="s">
        <v>192</v>
      </c>
      <c r="G76" s="12" t="s">
        <v>193</v>
      </c>
      <c r="H76" t="s">
        <v>33</v>
      </c>
      <c r="J76" s="31">
        <v>214608869</v>
      </c>
      <c r="K76" s="31"/>
      <c r="L76" s="31"/>
      <c r="M76" s="31"/>
      <c r="N76" s="31"/>
      <c r="O76" s="31"/>
      <c r="T76" s="17">
        <f t="shared" si="1"/>
        <v>214608869</v>
      </c>
    </row>
    <row r="77" spans="1:20">
      <c r="B77" s="12" t="s">
        <v>191</v>
      </c>
      <c r="C77" s="18"/>
      <c r="E77" s="18"/>
      <c r="F77" s="12" t="s">
        <v>191</v>
      </c>
      <c r="J77" s="31"/>
      <c r="K77" s="31"/>
      <c r="L77" s="31"/>
      <c r="M77" s="31"/>
      <c r="N77" s="31"/>
      <c r="O77" s="31"/>
      <c r="T77" s="17">
        <f t="shared" si="1"/>
        <v>0</v>
      </c>
    </row>
    <row r="78" spans="1:20">
      <c r="B78" s="12"/>
      <c r="C78" s="18"/>
      <c r="E78" s="18"/>
      <c r="F78" s="12"/>
      <c r="J78" s="31"/>
      <c r="K78" s="31"/>
      <c r="L78" s="31"/>
      <c r="M78" s="31"/>
      <c r="N78" s="31"/>
      <c r="O78" s="31"/>
      <c r="T78" s="17">
        <f t="shared" si="1"/>
        <v>0</v>
      </c>
    </row>
    <row r="79" spans="1:20">
      <c r="C79" s="18"/>
      <c r="E79" s="18"/>
      <c r="J79" s="31"/>
      <c r="K79" s="31"/>
      <c r="L79" s="31"/>
      <c r="M79" s="31"/>
      <c r="N79" s="31"/>
      <c r="O79" s="31"/>
    </row>
    <row r="80" spans="1:20">
      <c r="E80" s="18"/>
      <c r="J80" s="31"/>
      <c r="K80" s="31"/>
      <c r="L80" s="31"/>
      <c r="M80" s="31"/>
      <c r="N80" s="31"/>
      <c r="O80" s="31"/>
    </row>
    <row r="81" spans="5:15">
      <c r="E81" s="18"/>
      <c r="J81" s="31"/>
      <c r="K81" s="31"/>
      <c r="L81" s="31"/>
      <c r="M81" s="31"/>
      <c r="N81" s="31"/>
      <c r="O81" s="31"/>
    </row>
    <row r="82" spans="5:15">
      <c r="J82" s="31"/>
      <c r="K82" s="31"/>
      <c r="L82" s="31"/>
      <c r="M82" s="31"/>
      <c r="N82" s="31"/>
      <c r="O82" s="31"/>
    </row>
    <row r="83" spans="5:15">
      <c r="J83" s="31"/>
      <c r="K83" s="31"/>
      <c r="L83" s="31"/>
      <c r="M83" s="31"/>
      <c r="N83" s="31"/>
      <c r="O83" s="31"/>
    </row>
    <row r="84" spans="5:15">
      <c r="J84" s="31"/>
      <c r="K84" s="31"/>
      <c r="L84" s="31"/>
      <c r="M84" s="31"/>
      <c r="N84" s="31"/>
      <c r="O84" s="31"/>
    </row>
    <row r="85" spans="5:15">
      <c r="J85" s="31"/>
      <c r="K85" s="31"/>
      <c r="L85" s="31"/>
      <c r="M85" s="31"/>
      <c r="N85" s="31"/>
      <c r="O85" s="31"/>
    </row>
    <row r="86" spans="5:15">
      <c r="J86" s="31"/>
      <c r="K86" s="31"/>
      <c r="L86" s="31"/>
      <c r="M86" s="31"/>
      <c r="N86" s="31"/>
      <c r="O86" s="31"/>
    </row>
    <row r="1048576" spans="5:5">
      <c r="E1048576" s="18">
        <v>45724</v>
      </c>
    </row>
  </sheetData>
  <mergeCells count="5">
    <mergeCell ref="A1:A2"/>
    <mergeCell ref="C1:C2"/>
    <mergeCell ref="D1:E1"/>
    <mergeCell ref="F1:F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dcterms:created xsi:type="dcterms:W3CDTF">2025-01-16T10:40:00Z</dcterms:created>
  <dcterms:modified xsi:type="dcterms:W3CDTF">2025-07-01T04:21:11Z</dcterms:modified>
</cp:coreProperties>
</file>